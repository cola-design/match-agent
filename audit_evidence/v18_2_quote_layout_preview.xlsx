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 报价汇总" sheetId="1" state="visible" r:id="rId1"/>
    <sheet xmlns:r="http://schemas.openxmlformats.org/officeDocument/2006/relationships" name="02 报价明细" sheetId="2" state="visible" r:id="rId2"/>
    <sheet xmlns:r="http://schemas.openxmlformats.org/officeDocument/2006/relationships" name="03 缺价与说明" sheetId="3" state="visible" r:id="rId3"/>
  </sheets>
  <definedNames>
    <definedName name="_xlnm.Print_Titles" localSheetId="0">'01 报价汇总'!$1:$5</definedName>
    <definedName name="_xlnm.Print_Area" localSheetId="0">'01 报价汇总'!$A$1:$D$21</definedName>
    <definedName name="_xlnm._FilterDatabase" localSheetId="1" hidden="1">'02 报价明细'!$A$3:$L$4</definedName>
    <definedName name="_xlnm.Print_Titles" localSheetId="1">'02 报价明细'!$1:$3</definedName>
    <definedName name="_xlnm.Print_Area" localSheetId="1">'02 报价明细'!$A$1:$L$4</definedName>
    <definedName name="_xlnm._FilterDatabase" localSheetId="2" hidden="1">'03 缺价与说明'!$A$3:$F$4</definedName>
    <definedName name="_xlnm.Print_Titles" localSheetId="2">'03 缺价与说明'!$1:$3</definedName>
    <definedName name="_xlnm.Print_Area" localSheetId="2">'03 缺价与说明'!$A$1:$F$4</definedName>
  </definedNames>
</workbook>
</file>

<file path=xl/styles.xml><?xml version="1.0" encoding="utf-8"?>
<styleSheet xmlns="http://schemas.openxmlformats.org/spreadsheetml/2006/main">
  <numFmts count="2">
    <numFmt numFmtId="164" formatCode="0.0%"/>
    <numFmt numFmtId="165" formatCode="0.00####"/>
  </numFmts>
  <fonts count="19">
    <font>
      <name val="Carlito"/>
      <sz val="11"/>
    </font>
    <font>
      <name val="Arial"/>
      <b val="1"/>
      <color rgb="FF1F4E78"/>
      <sz val="15"/>
    </font>
    <font>
      <name val="Arial"/>
      <b val="1"/>
      <color rgb="FF9C5700"/>
      <sz val="10"/>
    </font>
    <font>
      <name val="Arial"/>
      <b val="1"/>
      <color rgb="FFFFFFFF"/>
      <sz val="11"/>
    </font>
    <font>
      <name val="Arial"/>
      <b val="1"/>
      <color rgb="FF1F4E78"/>
      <sz val="11"/>
    </font>
    <font>
      <name val="Arial"/>
      <i val="1"/>
      <color rgb="FF5B6573"/>
      <sz val="10"/>
    </font>
    <font>
      <name val="Arial"/>
      <color rgb="FF1F2937"/>
      <sz val="10"/>
    </font>
    <font>
      <name val="Arial"/>
      <b val="1"/>
      <color rgb="FF1F2937"/>
      <sz val="10"/>
    </font>
    <font>
      <name val="Arial"/>
      <i val="1"/>
      <color rgb="FF1F2937"/>
      <sz val="10"/>
    </font>
    <font>
      <name val="Arial"/>
      <b val="1"/>
      <color rgb="FF1F4E78"/>
      <sz val="14"/>
    </font>
    <font>
      <name val="Arial"/>
      <b val="1"/>
      <color rgb="FF1F2937"/>
      <sz val="14"/>
    </font>
    <font>
      <name val="Arial"/>
      <b val="1"/>
      <color rgb="FFFFFFFF"/>
      <sz val="14"/>
    </font>
    <font>
      <name val="Microsoft YaHei"/>
      <color rgb="FF1F2937"/>
      <sz val="10.5"/>
    </font>
    <font>
      <name val="Microsoft YaHei"/>
      <b val="1"/>
      <color rgb="FFFFFFFF"/>
      <sz val="11"/>
    </font>
    <font>
      <name val="Microsoft YaHei"/>
      <b val="1"/>
      <color rgb="FF1F2937"/>
      <sz val="11"/>
    </font>
    <font>
      <name val="Microsoft YaHei"/>
      <b val="1"/>
      <color rgb="FFFFFFFF"/>
      <sz val="10.5"/>
    </font>
    <font>
      <name val="Microsoft YaHei"/>
      <b val="1"/>
      <color rgb="FF1F2937"/>
      <sz val="10.5"/>
    </font>
    <font>
      <name val="Microsoft YaHei"/>
      <i val="1"/>
      <color rgb="FF1F2937"/>
      <sz val="10.5"/>
    </font>
    <font>
      <name val="Microsoft YaHei"/>
      <b val="1"/>
      <color rgb="00FFFFFF"/>
      <sz val="18"/>
    </font>
  </fonts>
  <fills count="8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1F4E78"/>
      </patternFill>
    </fill>
    <fill>
      <patternFill patternType="solid">
        <fgColor rgb="FF18344F"/>
      </patternFill>
    </fill>
  </fills>
  <borders count="1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E6B8AF"/>
      </left>
      <right style="thin">
        <color rgb="FFE6B8AF"/>
      </right>
      <top style="thin">
        <color rgb="FFE6B8AF"/>
      </top>
      <bottom style="thin">
        <color rgb="FFE6B8AF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00C8D6E5"/>
      </left>
      <right style="thin">
        <color rgb="00C8D6E5"/>
      </right>
      <top style="thin">
        <color rgb="00C8D6E5"/>
      </top>
      <bottom style="thin">
        <color rgb="00C8D6E5"/>
      </bottom>
    </border>
    <border>
      <left/>
      <right/>
      <top style="thin">
        <color rgb="00C8D6E5"/>
      </top>
      <bottom/>
      <diagonal/>
    </border>
    <border>
      <left/>
      <right style="thin">
        <color rgb="00C8D6E5"/>
      </right>
      <top style="thin">
        <color rgb="00C8D6E5"/>
      </top>
      <bottom/>
      <diagonal/>
    </border>
    <border>
      <left/>
      <right/>
      <top style="thin">
        <color rgb="00C8D6E5"/>
      </top>
      <bottom style="thin">
        <color rgb="00C8D6E5"/>
      </bottom>
      <diagonal/>
    </border>
    <border>
      <left/>
      <right style="thin">
        <color rgb="00C8D6E5"/>
      </right>
      <top style="thin">
        <color rgb="00C8D6E5"/>
      </top>
      <bottom style="thin">
        <color rgb="00C8D6E5"/>
      </bottom>
      <diagonal/>
    </border>
  </borders>
  <cellStyleXfs count="1">
    <xf numFmtId="0" fontId="0" fillId="0" borderId="0"/>
  </cellStyleXfs>
  <cellXfs count="11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3" fillId="3" borderId="0" pivotButton="0" quotePrefix="0" xfId="0"/>
    <xf numFmtId="0" fontId="3" fillId="3" borderId="1" pivotButton="0" quotePrefix="0" xfId="0"/>
    <xf numFmtId="0" fontId="3" fillId="3" borderId="1" applyAlignment="1" pivotButton="0" quotePrefix="0" xfId="0">
      <alignment horizontal="center"/>
    </xf>
    <xf numFmtId="0" fontId="0" fillId="0" borderId="2" pivotButton="0" quotePrefix="0" xfId="0"/>
    <xf numFmtId="4" fontId="0" fillId="0" borderId="2" pivotButton="0" quotePrefix="0" xfId="0"/>
    <xf numFmtId="164" fontId="0" fillId="2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wrapText="1"/>
    </xf>
    <xf numFmtId="0" fontId="6" fillId="0" borderId="0" pivotButton="0" quotePrefix="0" xfId="0"/>
    <xf numFmtId="0" fontId="7" fillId="0" borderId="0" pivotButton="0" quotePrefix="0" xfId="0"/>
    <xf numFmtId="0" fontId="7" fillId="2" borderId="0" pivotButton="0" quotePrefix="0" xfId="0"/>
    <xf numFmtId="0" fontId="7" fillId="3" borderId="1" applyAlignment="1" pivotButton="0" quotePrefix="0" xfId="0">
      <alignment horizontal="center"/>
    </xf>
    <xf numFmtId="0" fontId="6" fillId="0" borderId="2" pivotButton="0" quotePrefix="0" xfId="0"/>
    <xf numFmtId="4" fontId="6" fillId="0" borderId="2" pivotButton="0" quotePrefix="0" xfId="0"/>
    <xf numFmtId="0" fontId="6" fillId="2" borderId="0" pivotButton="0" quotePrefix="0" xfId="0"/>
    <xf numFmtId="164" fontId="6" fillId="2" borderId="0" pivotButton="0" quotePrefix="0" xfId="0"/>
    <xf numFmtId="0" fontId="7" fillId="4" borderId="0" pivotButton="0" quotePrefix="0" xfId="0"/>
    <xf numFmtId="0" fontId="8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7" fillId="3" borderId="1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/>
    </xf>
    <xf numFmtId="4" fontId="6" fillId="0" borderId="2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164" fontId="6" fillId="2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pivotButton="0" quotePrefix="0" xfId="0"/>
    <xf numFmtId="0" fontId="3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wrapText="1"/>
    </xf>
    <xf numFmtId="0" fontId="0" fillId="0" borderId="3" pivotButton="0" quotePrefix="0" xfId="0"/>
    <xf numFmtId="49" fontId="0" fillId="0" borderId="3" pivotButton="0" quotePrefix="0" xfId="0"/>
    <xf numFmtId="4" fontId="0" fillId="0" borderId="3" pivotButton="0" quotePrefix="0" xfId="0"/>
    <xf numFmtId="164" fontId="0" fillId="0" borderId="3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/>
    </xf>
    <xf numFmtId="49" fontId="0" fillId="0" borderId="3" applyAlignment="1" pivotButton="0" quotePrefix="0" xfId="0">
      <alignment vertical="center"/>
    </xf>
    <xf numFmtId="4" fontId="0" fillId="0" borderId="3" applyAlignment="1" pivotButton="0" quotePrefix="0" xfId="0">
      <alignment vertical="center"/>
    </xf>
    <xf numFmtId="164" fontId="0" fillId="0" borderId="3" applyAlignment="1" pivotButton="0" quotePrefix="0" xfId="0">
      <alignment vertical="center"/>
    </xf>
    <xf numFmtId="0" fontId="0" fillId="0" borderId="3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6" fillId="0" borderId="3" applyAlignment="1" pivotButton="0" quotePrefix="0" xfId="0">
      <alignment vertical="center"/>
    </xf>
    <xf numFmtId="49" fontId="6" fillId="0" borderId="3" applyAlignment="1" pivotButton="0" quotePrefix="0" xfId="0">
      <alignment vertical="center"/>
    </xf>
    <xf numFmtId="0" fontId="6" fillId="0" borderId="3" applyAlignment="1" pivotButton="0" quotePrefix="0" xfId="0">
      <alignment vertical="center" wrapText="1"/>
    </xf>
    <xf numFmtId="4" fontId="6" fillId="0" borderId="3" applyAlignment="1" pivotButton="0" quotePrefix="0" xfId="0">
      <alignment vertical="center"/>
    </xf>
    <xf numFmtId="164" fontId="6" fillId="0" borderId="3" applyAlignment="1" pivotButton="0" quotePrefix="0" xfId="0">
      <alignment vertical="center"/>
    </xf>
    <xf numFmtId="0" fontId="0" fillId="0" borderId="4" pivotButton="0" quotePrefix="0" xfId="0"/>
    <xf numFmtId="49" fontId="0" fillId="0" borderId="4" pivotButton="0" quotePrefix="0" xfId="0"/>
    <xf numFmtId="0" fontId="0" fillId="0" borderId="4" applyAlignment="1" pivotButton="0" quotePrefix="0" xfId="0">
      <alignment wrapText="1"/>
    </xf>
    <xf numFmtId="0" fontId="0" fillId="5" borderId="4" applyAlignment="1" pivotButton="0" quotePrefix="0" xfId="0">
      <alignment wrapText="1"/>
    </xf>
    <xf numFmtId="0" fontId="7" fillId="3" borderId="1" applyAlignment="1" pivotButton="0" quotePrefix="0" xfId="0">
      <alignment horizontal="center" wrapText="1"/>
    </xf>
    <xf numFmtId="0" fontId="6" fillId="0" borderId="4" pivotButton="0" quotePrefix="0" xfId="0"/>
    <xf numFmtId="49" fontId="6" fillId="0" borderId="4" pivotButton="0" quotePrefix="0" xfId="0"/>
    <xf numFmtId="0" fontId="6" fillId="5" borderId="4" applyAlignment="1" pivotButton="0" quotePrefix="0" xfId="0">
      <alignment wrapText="1"/>
    </xf>
    <xf numFmtId="0" fontId="6" fillId="0" borderId="4" applyAlignment="1" pivotButton="0" quotePrefix="0" xfId="0">
      <alignment vertical="center"/>
    </xf>
    <xf numFmtId="49" fontId="6" fillId="0" borderId="4" applyAlignment="1" pivotButton="0" quotePrefix="0" xfId="0">
      <alignment vertical="center"/>
    </xf>
    <xf numFmtId="0" fontId="6" fillId="5" borderId="4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4" fontId="6" fillId="0" borderId="2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164" fontId="6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center" vertical="center"/>
    </xf>
    <xf numFmtId="49" fontId="6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4" fontId="6" fillId="0" borderId="3" applyAlignment="1" pivotButton="0" quotePrefix="0" xfId="0">
      <alignment horizontal="center" vertical="center"/>
    </xf>
    <xf numFmtId="164" fontId="6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center" vertical="center"/>
    </xf>
    <xf numFmtId="49" fontId="6" fillId="0" borderId="4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left" vertical="center" wrapText="1"/>
    </xf>
    <xf numFmtId="0" fontId="12" fillId="0" borderId="0" applyAlignment="1" pivotButton="0" quotePrefix="0" xfId="0">
      <alignment vertical="top" wrapText="1"/>
    </xf>
    <xf numFmtId="0" fontId="18" fillId="7" borderId="0" applyAlignment="1" pivotButton="0" quotePrefix="0" xfId="0">
      <alignment horizontal="center" vertical="top" wrapText="1"/>
    </xf>
    <xf numFmtId="0" fontId="14" fillId="2" borderId="0" applyAlignment="1" pivotButton="0" quotePrefix="0" xfId="0">
      <alignment vertical="top" wrapText="1"/>
    </xf>
    <xf numFmtId="0" fontId="13" fillId="3" borderId="1" applyAlignment="1" pivotButton="0" quotePrefix="0" xfId="0">
      <alignment horizontal="center" vertical="top" wrapText="1"/>
    </xf>
    <xf numFmtId="0" fontId="0" fillId="0" borderId="7" pivotButton="0" quotePrefix="0" xfId="0"/>
    <xf numFmtId="0" fontId="0" fillId="0" borderId="8" pivotButton="0" quotePrefix="0" xfId="0"/>
    <xf numFmtId="0" fontId="12" fillId="0" borderId="13" applyAlignment="1" pivotButton="0" quotePrefix="0" xfId="0">
      <alignment horizontal="center" vertical="top" wrapText="1"/>
    </xf>
    <xf numFmtId="0" fontId="0" fillId="0" borderId="11" pivotButton="0" quotePrefix="0" xfId="0"/>
    <xf numFmtId="0" fontId="0" fillId="0" borderId="12" pivotButton="0" quotePrefix="0" xfId="0"/>
    <xf numFmtId="4" fontId="12" fillId="0" borderId="13" applyAlignment="1" pivotButton="0" quotePrefix="0" xfId="0">
      <alignment horizontal="center" vertical="top" wrapText="1"/>
    </xf>
    <xf numFmtId="0" fontId="12" fillId="0" borderId="13" applyAlignment="1" pivotButton="0" quotePrefix="0" xfId="0">
      <alignment vertical="top" wrapText="1"/>
    </xf>
    <xf numFmtId="0" fontId="15" fillId="3" borderId="13" applyAlignment="1" pivotButton="0" quotePrefix="0" xfId="0">
      <alignment horizontal="center" vertical="top" wrapText="1"/>
    </xf>
    <xf numFmtId="0" fontId="12" fillId="2" borderId="13" applyAlignment="1" pivotButton="0" quotePrefix="0" xfId="0">
      <alignment horizontal="center" vertical="top" wrapText="1"/>
    </xf>
    <xf numFmtId="164" fontId="12" fillId="2" borderId="13" applyAlignment="1" pivotButton="0" quotePrefix="0" xfId="0">
      <alignment horizontal="center" vertical="top" wrapText="1"/>
    </xf>
    <xf numFmtId="0" fontId="16" fillId="4" borderId="13" applyAlignment="1" pivotButton="0" quotePrefix="0" xfId="0">
      <alignment horizontal="center" vertical="top" wrapText="1"/>
    </xf>
    <xf numFmtId="0" fontId="17" fillId="0" borderId="13" applyAlignment="1" pivotButton="0" quotePrefix="0" xfId="0">
      <alignment horizontal="left" vertical="top" wrapText="1"/>
    </xf>
    <xf numFmtId="0" fontId="13" fillId="7" borderId="0" applyAlignment="1" pivotButton="0" quotePrefix="0" xfId="0">
      <alignment horizontal="center" vertical="top" wrapText="1"/>
    </xf>
    <xf numFmtId="49" fontId="12" fillId="0" borderId="13" applyAlignment="1" pivotButton="0" quotePrefix="0" xfId="0">
      <alignment horizontal="center" vertical="top" wrapText="1"/>
    </xf>
    <xf numFmtId="0" fontId="12" fillId="0" borderId="13" applyAlignment="1" pivotButton="0" quotePrefix="0" xfId="0">
      <alignment horizontal="left" vertical="top" wrapText="1"/>
    </xf>
    <xf numFmtId="165" fontId="12" fillId="0" borderId="13" applyAlignment="1" pivotButton="0" quotePrefix="0" xfId="0">
      <alignment horizontal="center" vertical="top" wrapText="1"/>
    </xf>
    <xf numFmtId="164" fontId="12" fillId="0" borderId="13" applyAlignment="1" pivotButton="0" quotePrefix="0" xfId="0">
      <alignment horizontal="center" vertical="top" wrapText="1"/>
    </xf>
    <xf numFmtId="0" fontId="12" fillId="5" borderId="13" applyAlignment="1" pivotButton="0" quotePrefix="0" xfId="0">
      <alignment horizontal="center" vertical="top" wrapText="1"/>
    </xf>
    <xf numFmtId="0" fontId="12" fillId="5" borderId="13" applyAlignment="1" pivotButton="0" quotePrefix="0" xfId="0">
      <alignment horizontal="left" vertical="top" wrapText="1"/>
    </xf>
    <xf numFmtId="0" fontId="0" fillId="0" borderId="16" pivotButton="0" quotePrefix="0" xfId="0"/>
    <xf numFmtId="0" fontId="0" fillId="0" borderId="17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 autoPageBreaks="1"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8" customWidth="1" min="4" max="4"/>
  </cols>
  <sheetData>
    <row r="1">
      <c r="A1" s="89" t="n"/>
      <c r="B1" s="89" t="n"/>
      <c r="C1" s="89" t="n"/>
      <c r="D1" s="89" t="n"/>
    </row>
    <row r="2" ht="38" customHeight="1">
      <c r="A2" s="90" t="inlineStr">
        <is>
          <t>单项材料参考报价｜版式预览</t>
        </is>
      </c>
    </row>
    <row r="3" ht="30" customHeight="1">
      <c r="A3" s="91" t="inlineStr">
        <is>
          <t>仅展示已验证的1项物料，不代表50kW项目完整BOM或项目总报价。</t>
        </is>
      </c>
    </row>
    <row r="4">
      <c r="A4" s="89" t="n"/>
      <c r="B4" s="89" t="n"/>
      <c r="C4" s="89" t="n"/>
      <c r="D4" s="89" t="n"/>
    </row>
    <row r="5" ht="30" customHeight="1">
      <c r="A5" s="92" t="inlineStr">
        <is>
          <t>项目</t>
        </is>
      </c>
      <c r="B5" s="92" t="inlineStr">
        <is>
          <t>内容 / 金额（元）</t>
        </is>
      </c>
      <c r="C5" s="93" t="n"/>
      <c r="D5" s="94" t="n"/>
    </row>
    <row r="6" ht="25" customHeight="1">
      <c r="A6" s="95" t="inlineStr">
        <is>
          <t>报价编号</t>
        </is>
      </c>
      <c r="B6" s="95" t="inlineStr">
        <is>
          <t>Q-A25B2B7B0E18EA79</t>
        </is>
      </c>
      <c r="C6" s="112" t="n"/>
      <c r="D6" s="113" t="n"/>
    </row>
    <row r="7" ht="25" customHeight="1">
      <c r="A7" s="95" t="inlineStr">
        <is>
          <t>报价状态</t>
        </is>
      </c>
      <c r="B7" s="95" t="inlineStr">
        <is>
          <t>材料参考报价（含估算或未核验价格）</t>
        </is>
      </c>
      <c r="C7" s="112" t="n"/>
      <c r="D7" s="113" t="n"/>
    </row>
    <row r="8" ht="25" customHeight="1">
      <c r="A8" s="95" t="inlineStr">
        <is>
          <t>有效计价物料数</t>
        </is>
      </c>
      <c r="B8" s="95" t="n">
        <v>1</v>
      </c>
      <c r="C8" s="112" t="n"/>
      <c r="D8" s="113" t="n"/>
    </row>
    <row r="9" ht="25" customHeight="1">
      <c r="A9" s="95" t="inlineStr">
        <is>
          <t>材料未税小计</t>
        </is>
      </c>
      <c r="B9" s="98" t="n">
        <v>60</v>
      </c>
      <c r="C9" s="112" t="n"/>
      <c r="D9" s="113" t="n"/>
    </row>
    <row r="10" ht="25" customHeight="1">
      <c r="A10" s="95" t="inlineStr">
        <is>
          <t>调整后未税金额</t>
        </is>
      </c>
      <c r="B10" s="98" t="n">
        <v>67.62</v>
      </c>
      <c r="C10" s="112" t="n"/>
      <c r="D10" s="113" t="n"/>
    </row>
    <row r="11" ht="25" customHeight="1">
      <c r="A11" s="95" t="inlineStr">
        <is>
          <t>调整后含税金额</t>
        </is>
      </c>
      <c r="B11" s="98" t="n">
        <v>76.41</v>
      </c>
      <c r="C11" s="112" t="n"/>
      <c r="D11" s="113" t="n"/>
    </row>
    <row r="12" ht="25" customHeight="1">
      <c r="A12" s="99" t="n"/>
      <c r="B12" s="99" t="n"/>
      <c r="C12" s="99" t="n"/>
      <c r="D12" s="99" t="n"/>
    </row>
    <row r="13" ht="25" customHeight="1">
      <c r="A13" s="100" t="inlineStr">
        <is>
          <t>计价假设</t>
        </is>
      </c>
      <c r="B13" s="100" t="inlineStr">
        <is>
          <t>本次配置</t>
        </is>
      </c>
      <c r="C13" s="112" t="n"/>
      <c r="D13" s="113" t="n"/>
    </row>
    <row r="14" ht="25" customHeight="1">
      <c r="A14" s="101" t="inlineStr">
        <is>
          <t>成本加成率</t>
        </is>
      </c>
      <c r="B14" s="102" t="n">
        <v>0.15</v>
      </c>
      <c r="C14" s="112" t="n"/>
      <c r="D14" s="113" t="n"/>
    </row>
    <row r="15" ht="25" customHeight="1">
      <c r="A15" s="101" t="inlineStr">
        <is>
          <t>折扣率</t>
        </is>
      </c>
      <c r="B15" s="102" t="n">
        <v>0.02</v>
      </c>
      <c r="C15" s="112" t="n"/>
      <c r="D15" s="113" t="n"/>
    </row>
    <row r="16" ht="25" customHeight="1">
      <c r="A16" s="101" t="inlineStr">
        <is>
          <t>报价税率</t>
        </is>
      </c>
      <c r="B16" s="102" t="n">
        <v>0.13</v>
      </c>
      <c r="C16" s="112" t="n"/>
      <c r="D16" s="113" t="n"/>
    </row>
    <row r="17" ht="25" customHeight="1">
      <c r="A17" s="99" t="n"/>
      <c r="B17" s="99" t="n"/>
      <c r="C17" s="99" t="n"/>
      <c r="D17" s="99" t="n"/>
    </row>
    <row r="18" ht="25" customHeight="1">
      <c r="A18" s="103" t="inlineStr">
        <is>
          <t>范围：仅包含本次已确认BOM中的材料费用。</t>
        </is>
      </c>
      <c r="B18" s="112" t="n"/>
      <c r="C18" s="112" t="n"/>
      <c r="D18" s="113" t="n"/>
    </row>
    <row r="19" ht="25" customHeight="1">
      <c r="A19" s="104" t="inlineStr">
        <is>
          <t>未包含人工、加工、检验、运输等费用；不等于整柜项目总价。</t>
        </is>
      </c>
      <c r="B19" s="112" t="n"/>
      <c r="C19" s="112" t="n"/>
      <c r="D19" s="113" t="n"/>
    </row>
    <row r="20" ht="25" customHeight="1">
      <c r="A20" s="104" t="inlineStr">
        <is>
          <t>估算价格不等于已核实采购价；真实价格按版本和有效期维护。</t>
        </is>
      </c>
      <c r="B20" s="112" t="n"/>
      <c r="C20" s="112" t="n"/>
      <c r="D20" s="113" t="n"/>
    </row>
    <row r="21" ht="25" customHeight="1">
      <c r="A21" s="104" t="inlineStr">
        <is>
          <t>加成及折扣按本次配置列示，正式使用须按企业审批规则执行。</t>
        </is>
      </c>
      <c r="B21" s="112" t="n"/>
      <c r="C21" s="112" t="n"/>
      <c r="D21" s="113" t="n"/>
    </row>
  </sheetData>
  <mergeCells count="17">
    <mergeCell ref="B10:D10"/>
    <mergeCell ref="B11:D11"/>
    <mergeCell ref="A18:D18"/>
    <mergeCell ref="B5:D5"/>
    <mergeCell ref="B14:D14"/>
    <mergeCell ref="B8:D8"/>
    <mergeCell ref="A3:D3"/>
    <mergeCell ref="A20:D20"/>
    <mergeCell ref="A21:D21"/>
    <mergeCell ref="B9:D9"/>
    <mergeCell ref="B13:D13"/>
    <mergeCell ref="A19:D19"/>
    <mergeCell ref="A2:D2"/>
    <mergeCell ref="B15:D15"/>
    <mergeCell ref="B7:D7"/>
    <mergeCell ref="B6:D6"/>
    <mergeCell ref="B16:D16"/>
  </mergeCells>
  <printOptions horizontalCentered="1"/>
  <pageMargins left="0.25" right="0.25" top="0.35" bottom="0.35" header="0.15" footer="0.15"/>
  <pageSetup orientation="portrait" paperSize="9" fitToHeight="0" fitToWidth="1"/>
  <headerFooter>
    <oddHeader/>
    <oddFooter>&amp;C&amp;9 第 &amp;P 页 / 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 autoPageBreaks="1" fitToPage="1"/>
  </sheetPr>
  <dimension ref="A1:L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29" customWidth="1" min="4" max="4"/>
    <col width="9" customWidth="1" min="5" max="5"/>
    <col width="8" customWidth="1" min="6" max="6"/>
    <col width="13" customWidth="1" min="7" max="7"/>
    <col width="14" customWidth="1" min="8" max="8"/>
    <col width="10" customWidth="1" min="9" max="9"/>
    <col width="15" customWidth="1" min="10" max="10"/>
    <col width="20" customWidth="1" min="11" max="11"/>
    <col width="45" customWidth="1" min="12" max="12"/>
  </cols>
  <sheetData>
    <row r="1">
      <c r="A1" s="89" t="n"/>
      <c r="B1" s="89" t="n"/>
      <c r="C1" s="89" t="n"/>
      <c r="D1" s="89" t="n"/>
      <c r="E1" s="89" t="n"/>
      <c r="F1" s="89" t="n"/>
      <c r="G1" s="89" t="n"/>
      <c r="H1" s="89" t="n"/>
      <c r="I1" s="89" t="n"/>
      <c r="J1" s="89" t="n"/>
      <c r="K1" s="89" t="n"/>
      <c r="L1" s="89" t="n"/>
    </row>
    <row r="2" ht="30" customHeight="1">
      <c r="A2" s="105" t="inlineStr">
        <is>
          <t>材料计价明细（全单加成／折扣调整前）</t>
        </is>
      </c>
    </row>
    <row r="3" ht="30" customHeight="1">
      <c r="A3" s="92" t="inlineStr">
        <is>
          <t>序号</t>
        </is>
      </c>
      <c r="B3" s="92" t="inlineStr">
        <is>
          <t>物料编码（文本）</t>
        </is>
      </c>
      <c r="C3" s="92" t="inlineStr">
        <is>
          <t>物料名称</t>
        </is>
      </c>
      <c r="D3" s="92" t="inlineStr">
        <is>
          <t>规格型号</t>
        </is>
      </c>
      <c r="E3" s="92" t="inlineStr">
        <is>
          <t>数量</t>
        </is>
      </c>
      <c r="F3" s="92" t="inlineStr">
        <is>
          <t>单位</t>
        </is>
      </c>
      <c r="G3" s="92" t="inlineStr">
        <is>
          <t>未税单价</t>
        </is>
      </c>
      <c r="H3" s="92" t="inlineStr">
        <is>
          <t>未税金额</t>
        </is>
      </c>
      <c r="I3" s="92" t="inlineStr">
        <is>
          <t>税率</t>
        </is>
      </c>
      <c r="J3" s="92" t="inlineStr">
        <is>
          <t>含税金额</t>
        </is>
      </c>
      <c r="K3" s="92" t="inlineStr">
        <is>
          <t>价格版本</t>
        </is>
      </c>
      <c r="L3" s="92" t="inlineStr">
        <is>
          <t>备注</t>
        </is>
      </c>
    </row>
    <row r="4" ht="73" customHeight="1">
      <c r="A4" s="95" t="n">
        <v>1</v>
      </c>
      <c r="B4" s="106" t="inlineStr">
        <is>
          <t>335012800535</t>
        </is>
      </c>
      <c r="C4" s="95" t="inlineStr">
        <is>
          <t>小型断路器</t>
        </is>
      </c>
      <c r="D4" s="107" t="inlineStr">
        <is>
          <t>TGB1N-125H 4P C100</t>
        </is>
      </c>
      <c r="E4" s="98" t="n">
        <v>1</v>
      </c>
      <c r="F4" s="95" t="inlineStr">
        <is>
          <t>件</t>
        </is>
      </c>
      <c r="G4" s="108" t="n">
        <v>60</v>
      </c>
      <c r="H4" s="98">
        <f>IF(OR(E4="",G4=""),"",ROUND(E4*G4,2))</f>
        <v/>
      </c>
      <c r="I4" s="109" t="n">
        <v>0.13</v>
      </c>
      <c r="J4" s="98">
        <f>IF(OR(H4="",I4=""),"",ROUND(H4*(1+I4),2))</f>
        <v/>
      </c>
      <c r="K4" s="95" t="inlineStr">
        <is>
          <t>CN-MARKET-2026-V1</t>
        </is>
      </c>
      <c r="L4" s="107" t="inlineStr">
        <is>
          <t>ACTIVE；2026-10-26至2027-10-25；价格依据：MARKET_REFERENCE_ESTIMATE；参考价格，尚未经采购核验；BOM数量单位：只；计价单位：件；单件计数单位换算（需人工核实）：只→件</t>
        </is>
      </c>
    </row>
  </sheetData>
  <autoFilter ref="A3:L4"/>
  <mergeCells count="1">
    <mergeCell ref="A2:L2"/>
  </mergeCells>
  <printOptions horizontalCentered="1"/>
  <pageMargins left="0.25" right="0.25" top="0.35" bottom="0.35" header="0.15" footer="0.15"/>
  <pageSetup orientation="landscape" paperSize="8" fitToHeight="0" fitToWidth="1"/>
  <headerFooter>
    <oddHeader/>
    <oddFooter>&amp;C&amp;9 第 &amp;P 页 / 共 &amp;N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C65911"/>
    <outlinePr summaryBelow="1" summaryRight="1"/>
    <pageSetUpPr autoPageBreaks="1" fitToPage="1"/>
  </sheetPr>
  <dimension ref="A1:F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9" customWidth="1" min="2" max="2"/>
    <col width="24" customWidth="1" min="3" max="3"/>
    <col width="22" customWidth="1" min="4" max="4"/>
    <col width="58" customWidth="1" min="5" max="5"/>
    <col width="42" customWidth="1" min="6" max="6"/>
  </cols>
  <sheetData>
    <row r="1">
      <c r="A1" s="89" t="n"/>
      <c r="B1" s="89" t="n"/>
      <c r="C1" s="89" t="n"/>
      <c r="D1" s="89" t="n"/>
      <c r="E1" s="89" t="n"/>
      <c r="F1" s="89" t="n"/>
    </row>
    <row r="2" ht="30" customHeight="1">
      <c r="A2" s="105" t="inlineStr">
        <is>
          <t>价格依据及报价范围说明</t>
        </is>
      </c>
    </row>
    <row r="3" ht="30" customHeight="1">
      <c r="A3" s="92" t="inlineStr">
        <is>
          <t>序号</t>
        </is>
      </c>
      <c r="B3" s="92" t="inlineStr">
        <is>
          <t>物料编码（文本）</t>
        </is>
      </c>
      <c r="C3" s="92" t="inlineStr">
        <is>
          <t>元器件</t>
        </is>
      </c>
      <c r="D3" s="92" t="inlineStr">
        <is>
          <t>状态</t>
        </is>
      </c>
      <c r="E3" s="92" t="inlineStr">
        <is>
          <t>问题说明</t>
        </is>
      </c>
      <c r="F3" s="92" t="inlineStr">
        <is>
          <t>处理要求</t>
        </is>
      </c>
    </row>
    <row r="4" ht="41" customHeight="1">
      <c r="A4" s="95" t="n">
        <v>1</v>
      </c>
      <c r="B4" s="106" t="n"/>
      <c r="C4" s="95" t="n"/>
      <c r="D4" s="110" t="inlineStr">
        <is>
          <t>参考价格说明</t>
        </is>
      </c>
      <c r="E4" s="111" t="inlineStr">
        <is>
          <t>本批有1项估算或未核验价格；金额按现有价格记录计算，不能据此认定为真实采购价。</t>
        </is>
      </c>
      <c r="F4" s="111" t="inlineStr">
        <is>
          <t>仅材料费用；人工、加工、检验和运输等未计入。</t>
        </is>
      </c>
    </row>
  </sheetData>
  <autoFilter ref="A3:F4"/>
  <mergeCells count="1">
    <mergeCell ref="A2:F2"/>
  </mergeCells>
  <printOptions horizontalCentered="1"/>
  <pageMargins left="0.25" right="0.25" top="0.35" bottom="0.35" header="0.15" footer="0.15"/>
  <pageSetup orientation="landscape" paperSize="8" fitToHeight="0" fitToWidth="1"/>
  <headerFooter>
    <oddHeader/>
    <oddFooter>&amp;C&amp;9 第 &amp;P 页 /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2026-10-28T04:10:19Z</dcterms:created>
  <dcterms:modified xmlns:dcterms="http://purl.org/dc/terms/" xmlns:xsi="http://www.w3.org/2001/XMLSchema-instance" xsi:type="dcterms:W3CDTF">2026-10-28T04:12:42Z</dcterms:modified>
</cp:coreProperties>
</file>